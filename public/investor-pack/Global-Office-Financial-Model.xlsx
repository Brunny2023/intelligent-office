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Cost Structure" sheetId="4" state="visible" r:id="rId4"/>
    <sheet xmlns:r="http://schemas.openxmlformats.org/officeDocument/2006/relationships" name="P&amp;L Summary" sheetId="5" state="visible" r:id="rId5"/>
    <sheet xmlns:r="http://schemas.openxmlformats.org/officeDocument/2006/relationships" name="Cash &amp; Runway" sheetId="6" state="visible" r:id="rId6"/>
    <sheet xmlns:r="http://schemas.openxmlformats.org/officeDocument/2006/relationships" name="Unit Economics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;(0.0%);&quot;-&quot;"/>
    <numFmt numFmtId="166" formatCode="_($* #,##0_);_($* (#,##0);_($* &quot;-&quot;_);_(@_)"/>
    <numFmt numFmtId="167" formatCode="#,##0.0"/>
    <numFmt numFmtId="168" formatCode="0.0"/>
    <numFmt numFmtId="169" formatCode="0.0&quot;x&quot;"/>
  </numFmts>
  <fonts count="10">
    <font>
      <name val="Calibri"/>
      <family val="2"/>
      <color theme="1"/>
      <sz val="11"/>
      <scheme val="minor"/>
    </font>
    <font>
      <name val="Arial"/>
      <b val="1"/>
      <color rgb="000B1533"/>
      <sz val="24"/>
    </font>
    <font>
      <name val="Arial"/>
      <i val="1"/>
      <color rgb="004A5568"/>
      <sz val="12"/>
    </font>
    <font>
      <name val="Arial"/>
      <i val="1"/>
      <color rgb="004A5568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B1533"/>
      <sz val="14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6400"/>
      <sz val="10"/>
    </font>
  </fonts>
  <fills count="5">
    <fill>
      <patternFill/>
    </fill>
    <fill>
      <patternFill patternType="gray125"/>
    </fill>
    <fill>
      <patternFill patternType="solid">
        <fgColor rgb="000B1533"/>
      </patternFill>
    </fill>
    <fill>
      <patternFill patternType="solid">
        <fgColor rgb="00F1F1F1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4" fillId="3" borderId="0" pivotButton="0" quotePrefix="0" xfId="0"/>
    <xf numFmtId="164" fontId="8" fillId="4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5" fontId="5" fillId="0" borderId="0" pivotButton="0" quotePrefix="0" xfId="0"/>
    <xf numFmtId="165" fontId="9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0" fontId="9" fillId="0" borderId="0" pivotButton="0" quotePrefix="0" xfId="0"/>
    <xf numFmtId="165" fontId="5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Model</author>
  </authors>
  <commentList>
    <comment ref="B7" authorId="0" shapeId="0">
      <text>
        <t>Base case blends inbound + outbound in Tier 1 developed markets with partner channel in Tier 2.</t>
      </text>
    </comment>
    <comment ref="B11" authorId="0" shapeId="0">
      <text>
        <t>SMB SaaS benchmark 5–15% (KeyBanc SaaS Survey 2024). Improves as ICP tightens.</t>
      </text>
    </comment>
    <comment ref="B12" authorId="0" shapeId="0">
      <text>
        <t>Expansion via seat growth and module upsell.</t>
      </text>
    </comment>
    <comment ref="B15" authorId="0" shapeId="0">
      <text>
        <t>Weighted across Starter, Growth, Enterprise plans in developed-market ICP.</t>
      </text>
    </comment>
    <comment ref="B20" authorId="0" shapeId="0">
      <text>
        <t>Weighted across channels. Improves with brand + partner leverage.</t>
      </text>
    </comment>
    <comment ref="B21" authorId="0" shapeId="0">
      <text>
        <t>AI inference, hosting, LiveKit egress, support. Improves with scale + Lovable AI credit optimization.</t>
      </text>
    </comment>
    <comment ref="B32" authorId="0" shapeId="0">
      <text>
        <t>Blended across distributed team; higher weight to developed-market senior talent.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5"/>
  <sheetViews>
    <sheetView workbookViewId="0">
      <selection activeCell="A1" sqref="A1"/>
    </sheetView>
  </sheetViews>
  <sheetFormatPr baseColWidth="8" defaultRowHeight="15"/>
  <cols>
    <col width="3" customWidth="1" min="1" max="1"/>
    <col width="90" customWidth="1" min="2" max="2"/>
  </cols>
  <sheetData>
    <row r="2">
      <c r="B2" s="1" t="inlineStr">
        <is>
          <t>GLOBAL OFFICE</t>
        </is>
      </c>
    </row>
    <row r="3">
      <c r="B3" s="2" t="inlineStr">
        <is>
          <t>Three-Year Financial Model — Base Case</t>
        </is>
      </c>
    </row>
    <row r="5">
      <c r="B5" t="inlineStr">
        <is>
          <t>Prepared for institutional investor review</t>
        </is>
      </c>
    </row>
    <row r="6">
      <c r="B6" s="3" t="inlineStr">
        <is>
          <t>Version: 1.0  |  Currency: USD  |  Fiscal Year: Calendar</t>
        </is>
      </c>
    </row>
    <row r="9">
      <c r="B9" s="4" t="inlineStr">
        <is>
          <t>MODEL CONTENTS</t>
        </is>
      </c>
    </row>
    <row r="11">
      <c r="B11" s="5" t="inlineStr">
        <is>
          <t>Assumptions  —  Growth, pricing, unit economics, headcount drivers</t>
        </is>
      </c>
    </row>
    <row r="12">
      <c r="B12" s="5" t="inlineStr">
        <is>
          <t>Revenue  —  Cohort-based ARR build across three geographic tiers</t>
        </is>
      </c>
    </row>
    <row r="13">
      <c r="B13" s="5" t="inlineStr">
        <is>
          <t>Cost Structure  —  COGS, headcount, S&amp;M, R&amp;D, G&amp;A</t>
        </is>
      </c>
    </row>
    <row r="14">
      <c r="B14" s="5" t="inlineStr">
        <is>
          <t>P&amp;L Summary  —  GAAP income statement, EBITDA, margins</t>
        </is>
      </c>
    </row>
    <row r="15">
      <c r="B15" s="5" t="inlineStr">
        <is>
          <t>Cash &amp; Runway  —  Cash flow, funding rounds, cumulative burn</t>
        </is>
      </c>
    </row>
    <row r="16">
      <c r="B16" s="5" t="inlineStr">
        <is>
          <t>Unit Economics  —  CAC, LTV, payback, magic number, Rule of 40</t>
        </is>
      </c>
    </row>
    <row r="17">
      <c r="B17" s="5" t="inlineStr">
        <is>
          <t>Sensitivity  —  Base / Bear / Bull scenarios</t>
        </is>
      </c>
    </row>
    <row r="18">
      <c r="B18" s="5" t="inlineStr">
        <is>
          <t>Sources  —  Citations for benchmarks and third-party data</t>
        </is>
      </c>
    </row>
    <row r="22">
      <c r="B22" s="4" t="inlineStr">
        <is>
          <t>MODEL CONVENTIONS</t>
        </is>
      </c>
    </row>
    <row r="24">
      <c r="B24" t="inlineStr">
        <is>
          <t>•  Blue text = hardcoded input (change to run scenarios)</t>
        </is>
      </c>
    </row>
    <row r="25">
      <c r="B25" t="inlineStr">
        <is>
          <t>•  Black text = formula (do not overwrite)</t>
        </is>
      </c>
    </row>
    <row r="26">
      <c r="B26" t="inlineStr">
        <is>
          <t>•  Green text = cross-sheet link</t>
        </is>
      </c>
    </row>
    <row r="27">
      <c r="B27" t="inlineStr">
        <is>
          <t>•  Yellow fill = key assumption</t>
        </is>
      </c>
    </row>
    <row r="28">
      <c r="B28" t="inlineStr">
        <is>
          <t>•  Parentheses = negative values; '-' = zero</t>
        </is>
      </c>
    </row>
    <row r="29">
      <c r="B29" t="inlineStr">
        <is>
          <t>•  All figures in USD unless noted; percentages shown to one decimal</t>
        </is>
      </c>
    </row>
    <row r="34">
      <c r="B34" s="4" t="inlineStr">
        <is>
          <t>IMPORTANT</t>
        </is>
      </c>
    </row>
    <row r="35" ht="60" customHeight="1">
      <c r="B35" s="6" t="inlineStr">
        <is>
          <t>Figures represent management's strategic base case and are not a forecast of actual results. All forward-looking numbers are stated assumptions; investor diligence should stress-test each driver. Global Office targets developed markets first (North America, Western Europe, UK, ANZ, Singapore, Israel), with emerging-market expansion as a secondary phase.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8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2">
      <c r="B2" s="7" t="inlineStr">
        <is>
          <t>ASSUMPTIONS</t>
        </is>
      </c>
    </row>
    <row r="3">
      <c r="B3" s="3" t="inlineStr">
        <is>
          <t>Base case — global-first go-to-market, developed markets primary</t>
        </is>
      </c>
    </row>
    <row r="5">
      <c r="B5" s="8" t="inlineStr">
        <is>
          <t>Driver</t>
        </is>
      </c>
      <c r="C5" s="8" t="inlineStr">
        <is>
          <t>Unit</t>
        </is>
      </c>
      <c r="D5" s="8" t="inlineStr">
        <is>
          <t>Year 1</t>
        </is>
      </c>
      <c r="E5" s="8" t="inlineStr">
        <is>
          <t>Year 2</t>
        </is>
      </c>
      <c r="F5" s="8" t="inlineStr">
        <is>
          <t>Year 3</t>
        </is>
      </c>
    </row>
    <row r="6">
      <c r="B6" s="9" t="inlineStr">
        <is>
          <t>Customer Growth</t>
        </is>
      </c>
    </row>
    <row r="7">
      <c r="B7" s="5" t="inlineStr">
        <is>
          <t>Paying organizations (end of year)</t>
        </is>
      </c>
      <c r="C7" s="5" t="inlineStr">
        <is>
          <t>orgs</t>
        </is>
      </c>
      <c r="D7" s="10" t="n">
        <v>120</v>
      </c>
      <c r="E7" s="10" t="n">
        <v>900</v>
      </c>
      <c r="F7" s="10" t="n">
        <v>3600</v>
      </c>
    </row>
    <row r="8">
      <c r="B8" s="5" t="inlineStr">
        <is>
          <t>Organic / inbound share of new logos</t>
        </is>
      </c>
      <c r="C8" s="5" t="inlineStr">
        <is>
          <t>%</t>
        </is>
      </c>
      <c r="D8" s="11" t="n">
        <v>0.35</v>
      </c>
      <c r="E8" s="11" t="n">
        <v>0.4</v>
      </c>
      <c r="F8" s="11" t="n">
        <v>0.45</v>
      </c>
    </row>
    <row r="9">
      <c r="B9" s="5" t="inlineStr">
        <is>
          <t>Partner channel share of new logos</t>
        </is>
      </c>
      <c r="C9" s="5" t="inlineStr">
        <is>
          <t>%</t>
        </is>
      </c>
      <c r="D9" s="11" t="n">
        <v>0.15</v>
      </c>
      <c r="E9" s="11" t="n">
        <v>0.25</v>
      </c>
      <c r="F9" s="11" t="n">
        <v>0.3</v>
      </c>
    </row>
    <row r="10">
      <c r="B10" s="5" t="inlineStr">
        <is>
          <t>Outbound / direct sales share</t>
        </is>
      </c>
      <c r="C10" s="5" t="inlineStr">
        <is>
          <t>%</t>
        </is>
      </c>
      <c r="D10" s="11" t="n">
        <v>0.5</v>
      </c>
      <c r="E10" s="11" t="n">
        <v>0.35</v>
      </c>
      <c r="F10" s="11" t="n">
        <v>0.25</v>
      </c>
    </row>
    <row r="11">
      <c r="B11" s="5" t="inlineStr">
        <is>
          <t>Gross logo churn (annual)</t>
        </is>
      </c>
      <c r="C11" s="5" t="inlineStr">
        <is>
          <t>%</t>
        </is>
      </c>
      <c r="D11" s="11" t="n">
        <v>0.12</v>
      </c>
      <c r="E11" s="11" t="n">
        <v>0.09</v>
      </c>
      <c r="F11" s="11" t="n">
        <v>0.07000000000000001</v>
      </c>
    </row>
    <row r="12">
      <c r="B12" s="5" t="inlineStr">
        <is>
          <t>Net revenue retention</t>
        </is>
      </c>
      <c r="C12" s="5" t="inlineStr">
        <is>
          <t>%</t>
        </is>
      </c>
      <c r="D12" s="11" t="n">
        <v>1.05</v>
      </c>
      <c r="E12" s="11" t="n">
        <v>1.1</v>
      </c>
      <c r="F12" s="11" t="n">
        <v>1.15</v>
      </c>
    </row>
    <row r="14">
      <c r="B14" s="9" t="inlineStr">
        <is>
          <t>Pricing</t>
        </is>
      </c>
    </row>
    <row r="15">
      <c r="B15" s="5" t="inlineStr">
        <is>
          <t>Blended ARPU per org per month</t>
        </is>
      </c>
      <c r="C15" s="5" t="inlineStr">
        <is>
          <t>USD</t>
        </is>
      </c>
      <c r="D15" s="12" t="n">
        <v>220</v>
      </c>
      <c r="E15" s="12" t="n">
        <v>260</v>
      </c>
      <c r="F15" s="12" t="n">
        <v>300</v>
      </c>
    </row>
    <row r="16">
      <c r="B16" s="5" t="inlineStr">
        <is>
          <t>Enterprise share of new bookings</t>
        </is>
      </c>
      <c r="C16" s="5" t="inlineStr">
        <is>
          <t>%</t>
        </is>
      </c>
      <c r="D16" s="11" t="n">
        <v>0.1</v>
      </c>
      <c r="E16" s="11" t="n">
        <v>0.18</v>
      </c>
      <c r="F16" s="11" t="n">
        <v>0.28</v>
      </c>
    </row>
    <row r="17">
      <c r="B17" s="5" t="inlineStr">
        <is>
          <t>Annual price increase (existing base)</t>
        </is>
      </c>
      <c r="C17" s="5" t="inlineStr">
        <is>
          <t>%</t>
        </is>
      </c>
      <c r="D17" s="11" t="n">
        <v>0</v>
      </c>
      <c r="E17" s="11" t="n">
        <v>0.05</v>
      </c>
      <c r="F17" s="11" t="n">
        <v>0.07000000000000001</v>
      </c>
    </row>
    <row r="19">
      <c r="B19" s="9" t="inlineStr">
        <is>
          <t>Unit Economics</t>
        </is>
      </c>
    </row>
    <row r="20">
      <c r="B20" s="5" t="inlineStr">
        <is>
          <t>Blended CAC per org</t>
        </is>
      </c>
      <c r="C20" s="5" t="inlineStr">
        <is>
          <t>USD</t>
        </is>
      </c>
      <c r="D20" s="12" t="n">
        <v>1400</v>
      </c>
      <c r="E20" s="12" t="n">
        <v>1250</v>
      </c>
      <c r="F20" s="12" t="n">
        <v>1150</v>
      </c>
    </row>
    <row r="21">
      <c r="B21" s="5" t="inlineStr">
        <is>
          <t>Gross margin</t>
        </is>
      </c>
      <c r="C21" s="5" t="inlineStr">
        <is>
          <t>%</t>
        </is>
      </c>
      <c r="D21" s="11" t="n">
        <v>0.72</v>
      </c>
      <c r="E21" s="11" t="n">
        <v>0.76</v>
      </c>
      <c r="F21" s="11" t="n">
        <v>0.8</v>
      </c>
    </row>
    <row r="22">
      <c r="B22" s="5" t="inlineStr">
        <is>
          <t>Sales &amp; Marketing (% of revenue)</t>
        </is>
      </c>
      <c r="C22" s="5" t="inlineStr">
        <is>
          <t>%</t>
        </is>
      </c>
      <c r="D22" s="11" t="n">
        <v>1.2</v>
      </c>
      <c r="E22" s="11" t="n">
        <v>0.65</v>
      </c>
      <c r="F22" s="11" t="n">
        <v>0.42</v>
      </c>
    </row>
    <row r="23">
      <c r="B23" s="5" t="inlineStr">
        <is>
          <t>R&amp;D (% of revenue)</t>
        </is>
      </c>
      <c r="C23" s="5" t="inlineStr">
        <is>
          <t>%</t>
        </is>
      </c>
      <c r="D23" s="11" t="n">
        <v>0.85</v>
      </c>
      <c r="E23" s="11" t="n">
        <v>0.55</v>
      </c>
      <c r="F23" s="11" t="n">
        <v>0.35</v>
      </c>
    </row>
    <row r="24">
      <c r="B24" s="5" t="inlineStr">
        <is>
          <t>G&amp;A (% of revenue)</t>
        </is>
      </c>
      <c r="C24" s="5" t="inlineStr">
        <is>
          <t>%</t>
        </is>
      </c>
      <c r="D24" s="11" t="n">
        <v>0.4</v>
      </c>
      <c r="E24" s="11" t="n">
        <v>0.25</v>
      </c>
      <c r="F24" s="11" t="n">
        <v>0.18</v>
      </c>
    </row>
    <row r="26">
      <c r="B26" s="9" t="inlineStr">
        <is>
          <t>Headcount (end of year)</t>
        </is>
      </c>
    </row>
    <row r="27">
      <c r="B27" s="5" t="inlineStr">
        <is>
          <t>Engineering</t>
        </is>
      </c>
      <c r="C27" s="5" t="inlineStr">
        <is>
          <t>FTE</t>
        </is>
      </c>
      <c r="D27" s="10" t="n">
        <v>6</v>
      </c>
      <c r="E27" s="10" t="n">
        <v>14</v>
      </c>
      <c r="F27" s="10" t="n">
        <v>28</v>
      </c>
    </row>
    <row r="28">
      <c r="B28" s="5" t="inlineStr">
        <is>
          <t>Product &amp; Design</t>
        </is>
      </c>
      <c r="C28" s="5" t="inlineStr">
        <is>
          <t>FTE</t>
        </is>
      </c>
      <c r="D28" s="10" t="n">
        <v>2</v>
      </c>
      <c r="E28" s="10" t="n">
        <v>5</v>
      </c>
      <c r="F28" s="10" t="n">
        <v>9</v>
      </c>
    </row>
    <row r="29">
      <c r="B29" s="5" t="inlineStr">
        <is>
          <t>Sales &amp; Marketing</t>
        </is>
      </c>
      <c r="C29" s="5" t="inlineStr">
        <is>
          <t>FTE</t>
        </is>
      </c>
      <c r="D29" s="10" t="n">
        <v>4</v>
      </c>
      <c r="E29" s="10" t="n">
        <v>12</v>
      </c>
      <c r="F29" s="10" t="n">
        <v>26</v>
      </c>
    </row>
    <row r="30">
      <c r="B30" s="5" t="inlineStr">
        <is>
          <t>Customer Success &amp; Support</t>
        </is>
      </c>
      <c r="C30" s="5" t="inlineStr">
        <is>
          <t>FTE</t>
        </is>
      </c>
      <c r="D30" s="10" t="n">
        <v>2</v>
      </c>
      <c r="E30" s="10" t="n">
        <v>7</v>
      </c>
      <c r="F30" s="10" t="n">
        <v>18</v>
      </c>
    </row>
    <row r="31">
      <c r="B31" s="5" t="inlineStr">
        <is>
          <t>G&amp;A / Operations</t>
        </is>
      </c>
      <c r="C31" s="5" t="inlineStr">
        <is>
          <t>FTE</t>
        </is>
      </c>
      <c r="D31" s="10" t="n">
        <v>2</v>
      </c>
      <c r="E31" s="10" t="n">
        <v>4</v>
      </c>
      <c r="F31" s="10" t="n">
        <v>7</v>
      </c>
    </row>
    <row r="32">
      <c r="B32" s="5" t="inlineStr">
        <is>
          <t>Fully-loaded cost per FTE (blended)</t>
        </is>
      </c>
      <c r="C32" s="5" t="inlineStr">
        <is>
          <t>USD/yr</t>
        </is>
      </c>
      <c r="D32" s="12" t="n">
        <v>95000</v>
      </c>
      <c r="E32" s="12" t="n">
        <v>105000</v>
      </c>
      <c r="F32" s="12" t="n">
        <v>115000</v>
      </c>
    </row>
    <row r="34">
      <c r="B34" s="9" t="inlineStr">
        <is>
          <t>Capital</t>
        </is>
      </c>
    </row>
    <row r="35">
      <c r="B35" s="5" t="inlineStr">
        <is>
          <t>Pre-seed raise (close in Y1)</t>
        </is>
      </c>
      <c r="C35" s="5" t="inlineStr">
        <is>
          <t>USD</t>
        </is>
      </c>
      <c r="D35" s="12" t="n">
        <v>1500000</v>
      </c>
      <c r="E35" s="12" t="n">
        <v>0</v>
      </c>
      <c r="F35" s="12" t="n">
        <v>0</v>
      </c>
    </row>
    <row r="36">
      <c r="B36" s="5" t="inlineStr">
        <is>
          <t>Seed raise (close in Y2)</t>
        </is>
      </c>
      <c r="C36" s="5" t="inlineStr">
        <is>
          <t>USD</t>
        </is>
      </c>
      <c r="D36" s="12" t="n">
        <v>0</v>
      </c>
      <c r="E36" s="12" t="n">
        <v>5000000</v>
      </c>
      <c r="F36" s="12" t="n">
        <v>0</v>
      </c>
    </row>
    <row r="37">
      <c r="B37" s="5" t="inlineStr">
        <is>
          <t>Series A (close in Y3)</t>
        </is>
      </c>
      <c r="C37" s="5" t="inlineStr">
        <is>
          <t>USD</t>
        </is>
      </c>
      <c r="D37" s="12" t="n">
        <v>0</v>
      </c>
      <c r="E37" s="12" t="n">
        <v>0</v>
      </c>
      <c r="F37" s="12" t="n">
        <v>15000000</v>
      </c>
    </row>
    <row r="38">
      <c r="B38" s="5" t="inlineStr">
        <is>
          <t>Opening cash (Y1)</t>
        </is>
      </c>
      <c r="C38" s="5" t="inlineStr">
        <is>
          <t>USD</t>
        </is>
      </c>
      <c r="D38" s="12" t="n">
        <v>50000</v>
      </c>
      <c r="E38" s="12" t="n">
        <v>0</v>
      </c>
      <c r="F38" s="12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16" customWidth="1" min="5" max="5"/>
  </cols>
  <sheetData>
    <row r="2">
      <c r="B2" s="7" t="inlineStr">
        <is>
          <t>REVENUE BUILD</t>
        </is>
      </c>
    </row>
    <row r="3">
      <c r="B3" s="3" t="inlineStr">
        <is>
          <t>ARR = ending orgs × blended ARPU × 12</t>
        </is>
      </c>
    </row>
    <row r="5">
      <c r="B5" s="8" t="inlineStr">
        <is>
          <t>Line</t>
        </is>
      </c>
      <c r="C5" s="8" t="inlineStr">
        <is>
          <t>Year 1</t>
        </is>
      </c>
      <c r="D5" s="8" t="inlineStr">
        <is>
          <t>Year 2</t>
        </is>
      </c>
      <c r="E5" s="8" t="inlineStr">
        <is>
          <t>Year 3</t>
        </is>
      </c>
    </row>
    <row r="6">
      <c r="B6" s="5" t="inlineStr">
        <is>
          <t>Ending paying organizations</t>
        </is>
      </c>
      <c r="C6" s="13">
        <f>Assumptions!D6</f>
        <v/>
      </c>
      <c r="D6" s="13">
        <f>Assumptions!E6</f>
        <v/>
      </c>
      <c r="E6" s="13">
        <f>Assumptions!F6</f>
        <v/>
      </c>
    </row>
    <row r="7">
      <c r="B7" s="5" t="inlineStr">
        <is>
          <t>Average organizations (avg of BoP/EoP)</t>
        </is>
      </c>
      <c r="C7" s="13">
        <f>(0+C6)/2</f>
        <v/>
      </c>
      <c r="D7" s="13">
        <f>(C6+D6)/2</f>
        <v/>
      </c>
      <c r="E7" s="13">
        <f>(D6+E6)/2</f>
        <v/>
      </c>
    </row>
    <row r="8">
      <c r="B8" s="5" t="inlineStr">
        <is>
          <t>Blended ARPU (monthly, USD)</t>
        </is>
      </c>
      <c r="C8" s="14">
        <f>Assumptions!D14</f>
        <v/>
      </c>
      <c r="D8" s="14">
        <f>Assumptions!E14</f>
        <v/>
      </c>
      <c r="E8" s="14">
        <f>Assumptions!F14</f>
        <v/>
      </c>
    </row>
    <row r="9">
      <c r="B9" s="5" t="inlineStr">
        <is>
          <t>MRR (end of year)</t>
        </is>
      </c>
      <c r="C9" s="15">
        <f>C6*C8</f>
        <v/>
      </c>
      <c r="D9" s="15">
        <f>D6*D8</f>
        <v/>
      </c>
      <c r="E9" s="15">
        <f>E6*E8</f>
        <v/>
      </c>
    </row>
    <row r="10">
      <c r="B10" s="5" t="inlineStr">
        <is>
          <t>ARR (end of year)</t>
        </is>
      </c>
      <c r="C10" s="15">
        <f>C9*12</f>
        <v/>
      </c>
      <c r="D10" s="15">
        <f>D9*12</f>
        <v/>
      </c>
      <c r="E10" s="15">
        <f>E9*12</f>
        <v/>
      </c>
    </row>
    <row r="11">
      <c r="B11" s="5" t="inlineStr">
        <is>
          <t>Recognized revenue (avg orgs × ARPU × 12)</t>
        </is>
      </c>
      <c r="C11" s="15">
        <f>C7*C8*12</f>
        <v/>
      </c>
      <c r="D11" s="15">
        <f>D7*D8*12</f>
        <v/>
      </c>
      <c r="E11" s="15">
        <f>E7*E8*12</f>
        <v/>
      </c>
    </row>
    <row r="13">
      <c r="B13" t="inlineStr">
        <is>
          <t>YoY revenue growth</t>
        </is>
      </c>
      <c r="C13" s="16" t="inlineStr"/>
      <c r="D13" s="16">
        <f>D11/C11-1</f>
        <v/>
      </c>
      <c r="E13" s="16">
        <f>E11/D11-1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3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16" customWidth="1" min="5" max="5"/>
  </cols>
  <sheetData>
    <row r="2">
      <c r="B2" s="7" t="inlineStr">
        <is>
          <t>COST STRUCTURE</t>
        </is>
      </c>
    </row>
    <row r="5">
      <c r="B5" s="8" t="inlineStr">
        <is>
          <t>Line</t>
        </is>
      </c>
      <c r="C5" s="8" t="inlineStr">
        <is>
          <t>Year 1</t>
        </is>
      </c>
      <c r="D5" s="8" t="inlineStr">
        <is>
          <t>Year 2</t>
        </is>
      </c>
      <c r="E5" s="8" t="inlineStr">
        <is>
          <t>Year 3</t>
        </is>
      </c>
    </row>
    <row r="6">
      <c r="B6" t="inlineStr">
        <is>
          <t>Recognized revenue</t>
        </is>
      </c>
      <c r="C6" s="14">
        <f>Revenue!C11</f>
        <v/>
      </c>
      <c r="D6" s="14">
        <f>Revenue!D11</f>
        <v/>
      </c>
      <c r="E6" s="14">
        <f>Revenue!E11</f>
        <v/>
      </c>
    </row>
    <row r="7">
      <c r="B7" t="inlineStr">
        <is>
          <t>Gross margin %</t>
        </is>
      </c>
      <c r="C7" s="17">
        <f>Assumptions!D20</f>
        <v/>
      </c>
      <c r="D7" s="17">
        <f>Assumptions!E20</f>
        <v/>
      </c>
      <c r="E7" s="17">
        <f>Assumptions!F20</f>
        <v/>
      </c>
    </row>
    <row r="8">
      <c r="B8" t="inlineStr">
        <is>
          <t>COGS</t>
        </is>
      </c>
      <c r="C8" s="15">
        <f>C6*(1-C7)</f>
        <v/>
      </c>
      <c r="D8" s="15">
        <f>D6*(1-D7)</f>
        <v/>
      </c>
      <c r="E8" s="15">
        <f>E6*(1-E7)</f>
        <v/>
      </c>
    </row>
    <row r="9">
      <c r="B9" t="inlineStr">
        <is>
          <t>Gross profit</t>
        </is>
      </c>
      <c r="C9" s="18">
        <f>C6-C8</f>
        <v/>
      </c>
      <c r="D9" s="18">
        <f>D6-D8</f>
        <v/>
      </c>
      <c r="E9" s="18">
        <f>E6-E8</f>
        <v/>
      </c>
    </row>
    <row r="11">
      <c r="B11" t="inlineStr">
        <is>
          <t>Total FTE (end of year)</t>
        </is>
      </c>
      <c r="C11" s="19">
        <f>SUM(Assumptions!D26:D30)</f>
        <v/>
      </c>
      <c r="D11" s="19">
        <f>SUM(Assumptions!E26:E30)</f>
        <v/>
      </c>
      <c r="E11" s="19">
        <f>SUM(Assumptions!F26:F30)</f>
        <v/>
      </c>
    </row>
    <row r="12">
      <c r="B12" t="inlineStr">
        <is>
          <t>Avg FTE (avg of BoP/EoP)</t>
        </is>
      </c>
      <c r="C12" s="13">
        <f>(0+C11)/2</f>
        <v/>
      </c>
      <c r="D12" s="13">
        <f>(C11+D11)/2</f>
        <v/>
      </c>
      <c r="E12" s="13">
        <f>(D11+E11)/2</f>
        <v/>
      </c>
    </row>
    <row r="13">
      <c r="B13" t="inlineStr">
        <is>
          <t>Fully-loaded cost per FTE</t>
        </is>
      </c>
      <c r="C13" s="14">
        <f>Assumptions!D31</f>
        <v/>
      </c>
      <c r="D13" s="14">
        <f>Assumptions!E31</f>
        <v/>
      </c>
      <c r="E13" s="14">
        <f>Assumptions!F31</f>
        <v/>
      </c>
    </row>
    <row r="14">
      <c r="B14" t="inlineStr">
        <is>
          <t>Total personnel cost</t>
        </is>
      </c>
      <c r="C14" s="15">
        <f>C12*C13</f>
        <v/>
      </c>
      <c r="D14" s="15">
        <f>D12*D13</f>
        <v/>
      </c>
      <c r="E14" s="15">
        <f>E12*E13</f>
        <v/>
      </c>
    </row>
    <row r="16">
      <c r="B16" t="inlineStr">
        <is>
          <t>S&amp;M (% of revenue)</t>
        </is>
      </c>
      <c r="C16" s="17">
        <f>Assumptions!D21</f>
        <v/>
      </c>
      <c r="D16" s="17">
        <f>Assumptions!E21</f>
        <v/>
      </c>
      <c r="E16" s="17">
        <f>Assumptions!F21</f>
        <v/>
      </c>
    </row>
    <row r="17">
      <c r="B17" t="inlineStr">
        <is>
          <t>S&amp;M expense</t>
        </is>
      </c>
      <c r="C17" s="15">
        <f>C6*C16</f>
        <v/>
      </c>
      <c r="D17" s="15">
        <f>D6*D16</f>
        <v/>
      </c>
      <c r="E17" s="15">
        <f>E6*E16</f>
        <v/>
      </c>
    </row>
    <row r="18">
      <c r="B18" t="inlineStr">
        <is>
          <t>R&amp;D (% of revenue)</t>
        </is>
      </c>
      <c r="C18" s="17">
        <f>Assumptions!D22</f>
        <v/>
      </c>
      <c r="D18" s="17">
        <f>Assumptions!E22</f>
        <v/>
      </c>
      <c r="E18" s="17">
        <f>Assumptions!F22</f>
        <v/>
      </c>
    </row>
    <row r="19">
      <c r="B19" t="inlineStr">
        <is>
          <t>R&amp;D expense</t>
        </is>
      </c>
      <c r="C19" s="15">
        <f>C6*C18</f>
        <v/>
      </c>
      <c r="D19" s="15">
        <f>D6*D18</f>
        <v/>
      </c>
      <c r="E19" s="15">
        <f>E6*E18</f>
        <v/>
      </c>
    </row>
    <row r="20">
      <c r="B20" t="inlineStr">
        <is>
          <t>G&amp;A (% of revenue)</t>
        </is>
      </c>
      <c r="C20" s="17">
        <f>Assumptions!D23</f>
        <v/>
      </c>
      <c r="D20" s="17">
        <f>Assumptions!E23</f>
        <v/>
      </c>
      <c r="E20" s="17">
        <f>Assumptions!F23</f>
        <v/>
      </c>
    </row>
    <row r="21">
      <c r="B21" t="inlineStr">
        <is>
          <t>G&amp;A expense</t>
        </is>
      </c>
      <c r="C21" s="15">
        <f>C6*C20</f>
        <v/>
      </c>
      <c r="D21" s="15">
        <f>D6*D20</f>
        <v/>
      </c>
      <c r="E21" s="15">
        <f>E6*E20</f>
        <v/>
      </c>
    </row>
    <row r="23">
      <c r="B23" t="inlineStr">
        <is>
          <t>Total opex (excl. COGS)</t>
        </is>
      </c>
      <c r="C23" s="18">
        <f>C17+C19+C21</f>
        <v/>
      </c>
      <c r="D23" s="18">
        <f>D17+D19+D21</f>
        <v/>
      </c>
      <c r="E23" s="18">
        <f>E17+E19+E21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8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16" customWidth="1" min="5" max="5"/>
  </cols>
  <sheetData>
    <row r="2">
      <c r="B2" s="7" t="inlineStr">
        <is>
          <t>INCOME STATEMENT</t>
        </is>
      </c>
    </row>
    <row r="5">
      <c r="B5" s="8" t="inlineStr">
        <is>
          <t>Line</t>
        </is>
      </c>
      <c r="C5" s="8" t="inlineStr">
        <is>
          <t>Year 1</t>
        </is>
      </c>
      <c r="D5" s="8" t="inlineStr">
        <is>
          <t>Year 2</t>
        </is>
      </c>
      <c r="E5" s="8" t="inlineStr">
        <is>
          <t>Year 3</t>
        </is>
      </c>
    </row>
    <row r="6">
      <c r="B6" s="4" t="inlineStr">
        <is>
          <t>Revenue</t>
        </is>
      </c>
      <c r="C6" s="18">
        <f>Revenue!C11</f>
        <v/>
      </c>
      <c r="D6" s="18">
        <f>Revenue!D11</f>
        <v/>
      </c>
      <c r="E6" s="18">
        <f>Revenue!E11</f>
        <v/>
      </c>
    </row>
    <row r="7">
      <c r="B7" s="20" t="inlineStr">
        <is>
          <t>COGS</t>
        </is>
      </c>
      <c r="C7" s="14">
        <f>-'Cost Structure'!C8</f>
        <v/>
      </c>
      <c r="D7" s="14">
        <f>-'Cost Structure'!D8</f>
        <v/>
      </c>
      <c r="E7" s="14">
        <f>-'Cost Structure'!E8</f>
        <v/>
      </c>
    </row>
    <row r="8">
      <c r="B8" s="4" t="inlineStr">
        <is>
          <t>Gross profit</t>
        </is>
      </c>
      <c r="C8" s="18">
        <f>C6+C7</f>
        <v/>
      </c>
      <c r="D8" s="18">
        <f>D6+D7</f>
        <v/>
      </c>
      <c r="E8" s="18">
        <f>E6+E7</f>
        <v/>
      </c>
    </row>
    <row r="9">
      <c r="B9" s="5" t="inlineStr">
        <is>
          <t>Gross margin %</t>
        </is>
      </c>
      <c r="C9" s="21">
        <f>C8/C6</f>
        <v/>
      </c>
      <c r="D9" s="21">
        <f>D8/D6</f>
        <v/>
      </c>
      <c r="E9" s="21">
        <f>E8/E6</f>
        <v/>
      </c>
    </row>
    <row r="10">
      <c r="B10" s="5" t="inlineStr"/>
    </row>
    <row r="11">
      <c r="B11" s="20" t="inlineStr">
        <is>
          <t>S&amp;M</t>
        </is>
      </c>
      <c r="C11" s="14">
        <f>-'Cost Structure'!C17</f>
        <v/>
      </c>
      <c r="D11" s="14">
        <f>-'Cost Structure'!D17</f>
        <v/>
      </c>
      <c r="E11" s="14">
        <f>-'Cost Structure'!E17</f>
        <v/>
      </c>
    </row>
    <row r="12">
      <c r="B12" s="20" t="inlineStr">
        <is>
          <t>R&amp;D</t>
        </is>
      </c>
      <c r="C12" s="14">
        <f>-'Cost Structure'!C19</f>
        <v/>
      </c>
      <c r="D12" s="14">
        <f>-'Cost Structure'!D19</f>
        <v/>
      </c>
      <c r="E12" s="14">
        <f>-'Cost Structure'!E19</f>
        <v/>
      </c>
    </row>
    <row r="13">
      <c r="B13" s="20" t="inlineStr">
        <is>
          <t>G&amp;A</t>
        </is>
      </c>
      <c r="C13" s="14">
        <f>-'Cost Structure'!C21</f>
        <v/>
      </c>
      <c r="D13" s="14">
        <f>-'Cost Structure'!D21</f>
        <v/>
      </c>
      <c r="E13" s="14">
        <f>-'Cost Structure'!E21</f>
        <v/>
      </c>
    </row>
    <row r="14">
      <c r="B14" s="4" t="inlineStr">
        <is>
          <t>Total opex</t>
        </is>
      </c>
      <c r="C14" s="18">
        <f>SUM(C11:C13)</f>
        <v/>
      </c>
      <c r="D14" s="18">
        <f>SUM(D11:D13)</f>
        <v/>
      </c>
      <c r="E14" s="18">
        <f>SUM(E11:E13)</f>
        <v/>
      </c>
    </row>
    <row r="15">
      <c r="B15" s="5" t="inlineStr"/>
    </row>
    <row r="16">
      <c r="B16" s="4" t="inlineStr">
        <is>
          <t>EBITDA</t>
        </is>
      </c>
      <c r="C16" s="18">
        <f>C8+C14</f>
        <v/>
      </c>
      <c r="D16" s="18">
        <f>D8+D14</f>
        <v/>
      </c>
      <c r="E16" s="18">
        <f>E8+E14</f>
        <v/>
      </c>
    </row>
    <row r="17">
      <c r="B17" s="5" t="inlineStr">
        <is>
          <t>EBITDA margin %</t>
        </is>
      </c>
      <c r="C17" s="21">
        <f>C16/C6</f>
        <v/>
      </c>
      <c r="D17" s="21">
        <f>D16/D6</f>
        <v/>
      </c>
      <c r="E17" s="21">
        <f>E16/E6</f>
        <v/>
      </c>
    </row>
    <row r="18">
      <c r="B18" s="5" t="inlineStr">
        <is>
          <t>Rule of 40 (Growth % + EBITDA %)</t>
        </is>
      </c>
      <c r="C18" s="21">
        <f>IF(C6=0,0,0)</f>
        <v/>
      </c>
      <c r="D18" s="21">
        <f>(D6/C6-1)+D17</f>
        <v/>
      </c>
      <c r="E18" s="21">
        <f>(E6/D6-1)+E17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16" customWidth="1" min="5" max="5"/>
  </cols>
  <sheetData>
    <row r="2">
      <c r="B2" s="7" t="inlineStr">
        <is>
          <t>CASH &amp; RUNWAY</t>
        </is>
      </c>
    </row>
    <row r="3">
      <c r="B3" s="3" t="inlineStr">
        <is>
          <t>Simplified cash flow — assumes ~30-day working capital drag, no capex</t>
        </is>
      </c>
    </row>
    <row r="5">
      <c r="B5" s="8" t="inlineStr">
        <is>
          <t>Line</t>
        </is>
      </c>
      <c r="C5" s="8" t="inlineStr">
        <is>
          <t>Year 1</t>
        </is>
      </c>
      <c r="D5" s="8" t="inlineStr">
        <is>
          <t>Year 2</t>
        </is>
      </c>
      <c r="E5" s="8" t="inlineStr">
        <is>
          <t>Year 3</t>
        </is>
      </c>
    </row>
    <row r="6">
      <c r="B6" t="inlineStr">
        <is>
          <t>Opening cash</t>
        </is>
      </c>
      <c r="C6" s="15">
        <f>Assumptions!D34</f>
        <v/>
      </c>
      <c r="D6" s="15">
        <f>C11</f>
        <v/>
      </c>
      <c r="E6" s="15">
        <f>D11</f>
        <v/>
      </c>
    </row>
    <row r="7">
      <c r="B7" t="inlineStr">
        <is>
          <t>EBITDA</t>
        </is>
      </c>
      <c r="C7" s="15">
        <f>'P&amp;L Summary'!C16</f>
        <v/>
      </c>
      <c r="D7" s="15">
        <f>'P&amp;L Summary'!D16</f>
        <v/>
      </c>
      <c r="E7" s="15">
        <f>'P&amp;L Summary'!E16</f>
        <v/>
      </c>
    </row>
    <row r="8">
      <c r="B8" t="inlineStr">
        <is>
          <t>Working capital change (est.)</t>
        </is>
      </c>
      <c r="C8" s="15">
        <f>-'P&amp;L Summary'!C6*0.08</f>
        <v/>
      </c>
      <c r="D8" s="15">
        <f>-'P&amp;L Summary'!D6*0.08</f>
        <v/>
      </c>
      <c r="E8" s="15">
        <f>-'P&amp;L Summary'!E6*0.08</f>
        <v/>
      </c>
    </row>
    <row r="9">
      <c r="B9" t="inlineStr">
        <is>
          <t>New capital raised</t>
        </is>
      </c>
      <c r="C9" s="15">
        <f>SUM(Assumptions!D32:D34)</f>
        <v/>
      </c>
      <c r="D9" s="15">
        <f>SUM(Assumptions!E32:E34)</f>
        <v/>
      </c>
      <c r="E9" s="15">
        <f>SUM(Assumptions!F32:F34)</f>
        <v/>
      </c>
    </row>
    <row r="10">
      <c r="B10" t="inlineStr">
        <is>
          <t>Net cash movement</t>
        </is>
      </c>
      <c r="C10" s="15">
        <f>C7+C8+C9</f>
        <v/>
      </c>
      <c r="D10" s="15">
        <f>D7+D8+D9</f>
        <v/>
      </c>
      <c r="E10" s="15">
        <f>E7+E8+E9</f>
        <v/>
      </c>
    </row>
    <row r="11">
      <c r="B11" t="inlineStr">
        <is>
          <t>Closing cash</t>
        </is>
      </c>
      <c r="C11" s="18">
        <f>C6+C10</f>
        <v/>
      </c>
      <c r="D11" s="18">
        <f>D6+D10</f>
        <v/>
      </c>
      <c r="E11" s="18">
        <f>E6+E10</f>
        <v/>
      </c>
    </row>
    <row r="13">
      <c r="B13" t="inlineStr">
        <is>
          <t>Cash runway at year-end (months, at trailing burn)</t>
        </is>
      </c>
      <c r="C13" s="22">
        <f>IF(C7&gt;=0,"cash-flow positive",C11/(-C7/12))</f>
        <v/>
      </c>
      <c r="D13" s="22">
        <f>IF(D7&gt;=0,"cash-flow positive",D11/(-D7/12))</f>
        <v/>
      </c>
      <c r="E13" s="22">
        <f>IF(E7&gt;=0,"cash-flow positive",E11/(-E7/12))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16" customWidth="1" min="5" max="5"/>
  </cols>
  <sheetData>
    <row r="2">
      <c r="B2" s="7" t="inlineStr">
        <is>
          <t>UNIT ECONOMICS</t>
        </is>
      </c>
    </row>
    <row r="5">
      <c r="B5" s="8" t="inlineStr">
        <is>
          <t>Metric</t>
        </is>
      </c>
      <c r="C5" s="8" t="inlineStr">
        <is>
          <t>Year 1</t>
        </is>
      </c>
      <c r="D5" s="8" t="inlineStr">
        <is>
          <t>Year 2</t>
        </is>
      </c>
      <c r="E5" s="8" t="inlineStr">
        <is>
          <t>Year 3</t>
        </is>
      </c>
    </row>
    <row r="6">
      <c r="B6" t="inlineStr">
        <is>
          <t>Blended ARPU (annual)</t>
        </is>
      </c>
      <c r="C6" s="14">
        <f>Assumptions!D14*12</f>
        <v/>
      </c>
      <c r="D6" s="14">
        <f>Assumptions!E14*12</f>
        <v/>
      </c>
      <c r="E6" s="14">
        <f>Assumptions!F14*12</f>
        <v/>
      </c>
    </row>
    <row r="7">
      <c r="B7" t="inlineStr">
        <is>
          <t>Gross margin</t>
        </is>
      </c>
      <c r="C7" s="17">
        <f>Assumptions!D20</f>
        <v/>
      </c>
      <c r="D7" s="17">
        <f>Assumptions!E20</f>
        <v/>
      </c>
      <c r="E7" s="17">
        <f>Assumptions!F20</f>
        <v/>
      </c>
    </row>
    <row r="8">
      <c r="B8" t="inlineStr">
        <is>
          <t>Gross profit per org</t>
        </is>
      </c>
      <c r="C8" s="15">
        <f>C6*C7</f>
        <v/>
      </c>
      <c r="D8" s="15">
        <f>D6*D7</f>
        <v/>
      </c>
      <c r="E8" s="15">
        <f>E6*E7</f>
        <v/>
      </c>
    </row>
    <row r="9">
      <c r="B9" t="inlineStr">
        <is>
          <t>Gross logo churn</t>
        </is>
      </c>
      <c r="C9" s="17">
        <f>Assumptions!D11</f>
        <v/>
      </c>
      <c r="D9" s="17">
        <f>Assumptions!E11</f>
        <v/>
      </c>
      <c r="E9" s="17">
        <f>Assumptions!F11</f>
        <v/>
      </c>
    </row>
    <row r="10">
      <c r="B10" t="inlineStr">
        <is>
          <t>Implied customer life (yrs)</t>
        </is>
      </c>
      <c r="C10" s="23">
        <f>1/C9</f>
        <v/>
      </c>
      <c r="D10" s="23">
        <f>1/D9</f>
        <v/>
      </c>
      <c r="E10" s="23">
        <f>1/E9</f>
        <v/>
      </c>
    </row>
    <row r="11">
      <c r="B11" t="inlineStr">
        <is>
          <t>LTV (gross-margin adjusted)</t>
        </is>
      </c>
      <c r="C11" s="18">
        <f>C8*C10</f>
        <v/>
      </c>
      <c r="D11" s="18">
        <f>D8*D10</f>
        <v/>
      </c>
      <c r="E11" s="18">
        <f>E8*E10</f>
        <v/>
      </c>
    </row>
    <row r="12">
      <c r="B12" t="inlineStr">
        <is>
          <t>Blended CAC</t>
        </is>
      </c>
      <c r="C12" s="14">
        <f>Assumptions!D19</f>
        <v/>
      </c>
      <c r="D12" s="14">
        <f>Assumptions!E19</f>
        <v/>
      </c>
      <c r="E12" s="14">
        <f>Assumptions!F19</f>
        <v/>
      </c>
    </row>
    <row r="13">
      <c r="B13" t="inlineStr">
        <is>
          <t>LTV : CAC</t>
        </is>
      </c>
      <c r="C13" s="24">
        <f>C11/C12</f>
        <v/>
      </c>
      <c r="D13" s="24">
        <f>D11/D12</f>
        <v/>
      </c>
      <c r="E13" s="24">
        <f>E11/E12</f>
        <v/>
      </c>
    </row>
    <row r="14">
      <c r="B14" t="inlineStr">
        <is>
          <t>CAC payback (months)</t>
        </is>
      </c>
      <c r="C14" s="23">
        <f>C12/(C6*C7/12)</f>
        <v/>
      </c>
      <c r="D14" s="23">
        <f>D12/(D6*D7/12)</f>
        <v/>
      </c>
      <c r="E14" s="23">
        <f>E12/(E6*E7/12)</f>
        <v/>
      </c>
    </row>
    <row r="15">
      <c r="B15" t="inlineStr">
        <is>
          <t>Net revenue retention</t>
        </is>
      </c>
      <c r="C15" s="17">
        <f>Assumptions!D12</f>
        <v/>
      </c>
      <c r="D15" s="17">
        <f>Assumptions!E12</f>
        <v/>
      </c>
      <c r="E15" s="17">
        <f>Assumptions!F12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>
      <c r="B2" s="7" t="inlineStr">
        <is>
          <t>SCENARIO SENSITIVITY</t>
        </is>
      </c>
    </row>
    <row r="3">
      <c r="B3" s="3" t="inlineStr">
        <is>
          <t>Illustrative bear / base / bull outcomes for Year 3 ARR</t>
        </is>
      </c>
    </row>
    <row r="5">
      <c r="B5" s="8" t="inlineStr">
        <is>
          <t>Scenario</t>
        </is>
      </c>
      <c r="C5" s="8" t="inlineStr">
        <is>
          <t>Y3 Orgs</t>
        </is>
      </c>
      <c r="D5" s="8" t="inlineStr">
        <is>
          <t>Y3 ARPU/mo</t>
        </is>
      </c>
      <c r="E5" s="8" t="inlineStr">
        <is>
          <t>Y3 ARR</t>
        </is>
      </c>
      <c r="F5" s="8" t="inlineStr">
        <is>
          <t>Y3 GM %</t>
        </is>
      </c>
      <c r="G5" s="8" t="inlineStr">
        <is>
          <t>Y3 EBITDA %</t>
        </is>
      </c>
      <c r="H5" s="8" t="inlineStr">
        <is>
          <t>Y3 EBITDA</t>
        </is>
      </c>
    </row>
    <row r="6">
      <c r="B6" s="4" t="inlineStr">
        <is>
          <t>Bear</t>
        </is>
      </c>
      <c r="C6" s="25" t="n">
        <v>1800</v>
      </c>
      <c r="D6" s="26" t="n">
        <v>240</v>
      </c>
      <c r="E6" s="15">
        <f>C6*D6*12</f>
        <v/>
      </c>
      <c r="F6" s="27" t="n">
        <v>0.72</v>
      </c>
      <c r="G6" s="27" t="n">
        <v>-0.15</v>
      </c>
      <c r="H6" s="15">
        <f>E6*G6</f>
        <v/>
      </c>
    </row>
    <row r="7">
      <c r="B7" s="4" t="inlineStr">
        <is>
          <t>Base</t>
        </is>
      </c>
      <c r="C7" s="25" t="n">
        <v>3600</v>
      </c>
      <c r="D7" s="26" t="n">
        <v>300</v>
      </c>
      <c r="E7" s="15">
        <f>C7*D7*12</f>
        <v/>
      </c>
      <c r="F7" s="27" t="n">
        <v>0.8</v>
      </c>
      <c r="G7" s="27" t="n">
        <v>0.05</v>
      </c>
      <c r="H7" s="15">
        <f>E7*G7</f>
        <v/>
      </c>
    </row>
    <row r="8">
      <c r="B8" s="4" t="inlineStr">
        <is>
          <t>Bull</t>
        </is>
      </c>
      <c r="C8" s="25" t="n">
        <v>5500</v>
      </c>
      <c r="D8" s="26" t="n">
        <v>340</v>
      </c>
      <c r="E8" s="15">
        <f>C8*D8*12</f>
        <v/>
      </c>
      <c r="F8" s="27" t="n">
        <v>0.83</v>
      </c>
      <c r="G8" s="27" t="n">
        <v>0.15</v>
      </c>
      <c r="H8" s="15">
        <f>E8*G8</f>
        <v/>
      </c>
    </row>
    <row r="11">
      <c r="B11" s="4" t="inlineStr">
        <is>
          <t>Interpretation</t>
        </is>
      </c>
    </row>
    <row r="12" ht="36" customHeight="1">
      <c r="B12" s="6" t="inlineStr">
        <is>
          <t>Bear reflects a slower developed-market ramp with weaker enterprise mix. Base is management's plan. Bull assumes earlier enterprise traction and partner acceleration in Y2–Y3.</t>
        </is>
      </c>
    </row>
  </sheetData>
  <mergeCells count="1">
    <mergeCell ref="B12:H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60" customWidth="1" min="3" max="3"/>
    <col width="24" customWidth="1" min="4" max="4"/>
  </cols>
  <sheetData>
    <row r="2">
      <c r="B2" s="7" t="inlineStr">
        <is>
          <t>SOURCES &amp; BENCHMARKS</t>
        </is>
      </c>
    </row>
    <row r="5">
      <c r="B5" s="8" t="inlineStr">
        <is>
          <t>Claim / Benchmark</t>
        </is>
      </c>
      <c r="C5" s="8" t="inlineStr">
        <is>
          <t>Source</t>
        </is>
      </c>
      <c r="D5" s="8" t="inlineStr">
        <is>
          <t>Date</t>
        </is>
      </c>
    </row>
    <row r="6">
      <c r="B6" s="6" t="inlineStr">
        <is>
          <t>SMB SaaS gross logo churn 5–15%</t>
        </is>
      </c>
      <c r="C6" s="6" t="inlineStr">
        <is>
          <t>KeyBanc Capital Markets — SaaS Survey</t>
        </is>
      </c>
      <c r="D6" s="6" t="inlineStr">
        <is>
          <t>2024</t>
        </is>
      </c>
    </row>
    <row r="7">
      <c r="B7" s="6" t="inlineStr">
        <is>
          <t>Median SaaS gross margin 72–80%</t>
        </is>
      </c>
      <c r="C7" s="6" t="inlineStr">
        <is>
          <t>SaaStr / OpenView SaaS Benchmarks</t>
        </is>
      </c>
      <c r="D7" s="6" t="inlineStr">
        <is>
          <t>2024</t>
        </is>
      </c>
    </row>
    <row r="8">
      <c r="B8" s="6" t="inlineStr">
        <is>
          <t>Rule of 40 as investor benchmark</t>
        </is>
      </c>
      <c r="C8" s="6" t="inlineStr">
        <is>
          <t>Bessemer State of the Cloud</t>
        </is>
      </c>
      <c r="D8" s="6" t="inlineStr">
        <is>
          <t>2024</t>
        </is>
      </c>
    </row>
    <row r="9">
      <c r="B9" s="6" t="inlineStr">
        <is>
          <t>Global work management TAM</t>
        </is>
      </c>
      <c r="C9" s="6" t="inlineStr">
        <is>
          <t>IDC / Gartner Digital Workplace</t>
        </is>
      </c>
      <c r="D9" s="6" t="inlineStr">
        <is>
          <t>2024</t>
        </is>
      </c>
    </row>
    <row r="10">
      <c r="B10" s="6" t="inlineStr">
        <is>
          <t>AI operations software growth</t>
        </is>
      </c>
      <c r="C10" s="6" t="inlineStr">
        <is>
          <t>McKinsey State of AI</t>
        </is>
      </c>
      <c r="D10" s="6" t="inlineStr">
        <is>
          <t>2024</t>
        </is>
      </c>
    </row>
    <row r="11">
      <c r="B11" s="6" t="inlineStr">
        <is>
          <t>SMB software spend by region</t>
        </is>
      </c>
      <c r="C11" s="6" t="inlineStr">
        <is>
          <t>Gartner Enterprise Software Forecast</t>
        </is>
      </c>
      <c r="D11" s="6" t="inlineStr">
        <is>
          <t>2024</t>
        </is>
      </c>
    </row>
    <row r="12">
      <c r="B12" s="6" t="inlineStr">
        <is>
          <t>SaaS blended CAC payback benchmarks</t>
        </is>
      </c>
      <c r="C12" s="6" t="inlineStr">
        <is>
          <t>OpenView Expansion SaaS Benchmarks</t>
        </is>
      </c>
      <c r="D12" s="6" t="inlineStr">
        <is>
          <t>2024</t>
        </is>
      </c>
    </row>
    <row r="13">
      <c r="B13" s="6" t="inlineStr">
        <is>
          <t>NRR by ACV band</t>
        </is>
      </c>
      <c r="C13" s="6" t="inlineStr">
        <is>
          <t>SaaS Capital SaaS Metrics Report</t>
        </is>
      </c>
      <c r="D13" s="6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2026-07-12T10:40:10Z</dcterms:created>
  <dcterms:modified xmlns:dcterms="http://purl.org/dc/terms/" xmlns:xsi="http://www.w3.org/2001/XMLSchema-instance" xsi:type="dcterms:W3CDTF">2026-07-12T10:40:10Z</dcterms:modified>
</cp:coreProperties>
</file>